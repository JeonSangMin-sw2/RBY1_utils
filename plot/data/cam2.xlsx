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레인보우로보틱스\Desktop\"/>
    </mc:Choice>
  </mc:AlternateContent>
  <xr:revisionPtr revIDLastSave="0" documentId="13_ncr:1_{8AE213AD-9D36-436E-BF62-9F15231B9095}" xr6:coauthVersionLast="47" xr6:coauthVersionMax="47" xr10:uidLastSave="{00000000-0000-0000-0000-000000000000}"/>
  <bookViews>
    <workbookView xWindow="4140" yWindow="3132" windowWidth="14496" windowHeight="99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" l="1"/>
  <c r="J29" i="1"/>
  <c r="J27" i="1"/>
  <c r="J25" i="1"/>
  <c r="J23" i="1"/>
  <c r="J21" i="1"/>
  <c r="J19" i="1"/>
  <c r="J17" i="1"/>
  <c r="J15" i="1"/>
  <c r="J13" i="1"/>
  <c r="J11" i="1"/>
  <c r="J9" i="1"/>
  <c r="J7" i="1"/>
  <c r="J5" i="1"/>
  <c r="J3" i="1"/>
</calcChain>
</file>

<file path=xl/sharedStrings.xml><?xml version="1.0" encoding="utf-8"?>
<sst xmlns="http://schemas.openxmlformats.org/spreadsheetml/2006/main" count="219" uniqueCount="155">
  <si>
    <t>ID</t>
  </si>
  <si>
    <t>Time Stamp</t>
  </si>
  <si>
    <t>Temperature</t>
  </si>
  <si>
    <t>x</t>
  </si>
  <si>
    <t>y</t>
  </si>
  <si>
    <t>z</t>
  </si>
  <si>
    <t>Dev From Fit</t>
  </si>
  <si>
    <t>Device Position</t>
  </si>
  <si>
    <t>Probe</t>
  </si>
  <si>
    <t>3:46:16.894 PM</t>
  </si>
  <si>
    <t>21.92°C</t>
  </si>
  <si>
    <t>646.444</t>
  </si>
  <si>
    <t>-250.815</t>
  </si>
  <si>
    <t>756.455</t>
  </si>
  <si>
    <t>85.053</t>
  </si>
  <si>
    <t>Device Position 1</t>
  </si>
  <si>
    <t>3:46:23.641 PM</t>
  </si>
  <si>
    <t>746.462</t>
  </si>
  <si>
    <t>-250.923</t>
  </si>
  <si>
    <t>757.817</t>
  </si>
  <si>
    <t>23.829</t>
  </si>
  <si>
    <t>3:46:30.188 PM</t>
  </si>
  <si>
    <t>646.451</t>
  </si>
  <si>
    <t>-250.793</t>
  </si>
  <si>
    <t>756.481</t>
  </si>
  <si>
    <t>85.049</t>
  </si>
  <si>
    <t>3:46:36.789 PM</t>
  </si>
  <si>
    <t>746.471</t>
  </si>
  <si>
    <t>-250.881</t>
  </si>
  <si>
    <t>757.851</t>
  </si>
  <si>
    <t>23.866</t>
  </si>
  <si>
    <t>3:46:43.364 PM</t>
  </si>
  <si>
    <t>646.456</t>
  </si>
  <si>
    <t>-250.808</t>
  </si>
  <si>
    <t>756.520</t>
  </si>
  <si>
    <t>85.041</t>
  </si>
  <si>
    <t>3:46:49.928 PM</t>
  </si>
  <si>
    <t>746.480</t>
  </si>
  <si>
    <t>-250.901</t>
  </si>
  <si>
    <t>757.886</t>
  </si>
  <si>
    <t>23.859</t>
  </si>
  <si>
    <t>3:46:56.528 PM</t>
  </si>
  <si>
    <t>646.454</t>
  </si>
  <si>
    <t>-250.819</t>
  </si>
  <si>
    <t>756.545</t>
  </si>
  <si>
    <t>3:47:03.094 PM</t>
  </si>
  <si>
    <t>746.493</t>
  </si>
  <si>
    <t>-250.863</t>
  </si>
  <si>
    <t>757.946</t>
  </si>
  <si>
    <t>23.897</t>
  </si>
  <si>
    <t>3:47:09.938 PM</t>
  </si>
  <si>
    <t>646.483</t>
  </si>
  <si>
    <t>-250.816</t>
  </si>
  <si>
    <t>756.548</t>
  </si>
  <si>
    <t>85.013</t>
  </si>
  <si>
    <t>3:47:16.357 PM</t>
  </si>
  <si>
    <t>746.504</t>
  </si>
  <si>
    <t>-250.845</t>
  </si>
  <si>
    <t>757.979</t>
  </si>
  <si>
    <t>23.918</t>
  </si>
  <si>
    <t>3:47:23.402 PM</t>
  </si>
  <si>
    <t>746.256</t>
  </si>
  <si>
    <t>-200.594</t>
  </si>
  <si>
    <t>757.794</t>
  </si>
  <si>
    <t>69.307</t>
  </si>
  <si>
    <t>3:47:30.089 PM</t>
  </si>
  <si>
    <t>-301.697</t>
  </si>
  <si>
    <t>757.121</t>
  </si>
  <si>
    <t>37.702</t>
  </si>
  <si>
    <t>3:47:36.761 PM</t>
  </si>
  <si>
    <t>746.254</t>
  </si>
  <si>
    <t>-200.596</t>
  </si>
  <si>
    <t>757.826</t>
  </si>
  <si>
    <t>69.305</t>
  </si>
  <si>
    <t>3:47:43.577 PM</t>
  </si>
  <si>
    <t>746.481</t>
  </si>
  <si>
    <t>-301.695</t>
  </si>
  <si>
    <t>757.123</t>
  </si>
  <si>
    <t>37.700</t>
  </si>
  <si>
    <t>3:47:50.321 PM</t>
  </si>
  <si>
    <t>746.249</t>
  </si>
  <si>
    <t>-200.604</t>
  </si>
  <si>
    <t>757.825</t>
  </si>
  <si>
    <t>69.297</t>
  </si>
  <si>
    <t>3:47:56.918 PM</t>
  </si>
  <si>
    <t>-301.707</t>
  </si>
  <si>
    <t>757.135</t>
  </si>
  <si>
    <t>37.703</t>
  </si>
  <si>
    <t>3:48:04.533 PM</t>
  </si>
  <si>
    <t>746.233</t>
  </si>
  <si>
    <t>757.832</t>
  </si>
  <si>
    <t>69.293</t>
  </si>
  <si>
    <t>3:48:12.965 PM</t>
  </si>
  <si>
    <t>746.470</t>
  </si>
  <si>
    <t>-301.694</t>
  </si>
  <si>
    <t>757.137</t>
  </si>
  <si>
    <t>37.694</t>
  </si>
  <si>
    <t>3:48:20.106 PM</t>
  </si>
  <si>
    <t>746.247</t>
  </si>
  <si>
    <t>-200.602</t>
  </si>
  <si>
    <t>757.824</t>
  </si>
  <si>
    <t>69.298</t>
  </si>
  <si>
    <t>3:48:27.590 PM</t>
  </si>
  <si>
    <t>746.467</t>
  </si>
  <si>
    <t>757.132</t>
  </si>
  <si>
    <t>37.693</t>
  </si>
  <si>
    <t>3:48:34.202 PM</t>
  </si>
  <si>
    <t>745.834</t>
  </si>
  <si>
    <t>-301.783</t>
  </si>
  <si>
    <t>807.326</t>
  </si>
  <si>
    <t>62.554</t>
  </si>
  <si>
    <t>3:48:41.174 PM</t>
  </si>
  <si>
    <t>747.067</t>
  </si>
  <si>
    <t>-301.630</t>
  </si>
  <si>
    <t>706.894</t>
  </si>
  <si>
    <t>63.033</t>
  </si>
  <si>
    <t>3:48:47.909 PM</t>
  </si>
  <si>
    <t>745.830</t>
  </si>
  <si>
    <t>-301.794</t>
  </si>
  <si>
    <t>807.336</t>
  </si>
  <si>
    <t>62.567</t>
  </si>
  <si>
    <t>3:48:55.351 PM</t>
  </si>
  <si>
    <t>747.071</t>
  </si>
  <si>
    <t>-301.636</t>
  </si>
  <si>
    <t>706.864</t>
  </si>
  <si>
    <t>63.062</t>
  </si>
  <si>
    <t>3:49:02.155 PM</t>
  </si>
  <si>
    <t>745.831</t>
  </si>
  <si>
    <t>-301.799</t>
  </si>
  <si>
    <t>807.316</t>
  </si>
  <si>
    <t>62.553</t>
  </si>
  <si>
    <t>3:49:08.971 PM</t>
  </si>
  <si>
    <t>-301.637</t>
  </si>
  <si>
    <t>706.869</t>
  </si>
  <si>
    <t>63.057</t>
  </si>
  <si>
    <t>3:49:15.706 PM</t>
  </si>
  <si>
    <t>745.829</t>
  </si>
  <si>
    <t>-301.816</t>
  </si>
  <si>
    <t>807.310</t>
  </si>
  <si>
    <t>62.557</t>
  </si>
  <si>
    <t>3:49:22.408 PM</t>
  </si>
  <si>
    <t>747.052</t>
  </si>
  <si>
    <t>-301.642</t>
  </si>
  <si>
    <t>706.858</t>
  </si>
  <si>
    <t>63.065</t>
  </si>
  <si>
    <t>3:49:29.121 PM</t>
  </si>
  <si>
    <t>745.806</t>
  </si>
  <si>
    <t>-301.863</t>
  </si>
  <si>
    <t>807.314</t>
  </si>
  <si>
    <t>62.580</t>
  </si>
  <si>
    <t>3:49:35.734 PM</t>
  </si>
  <si>
    <t>747.041</t>
  </si>
  <si>
    <t>-301.670</t>
  </si>
  <si>
    <t>706.840</t>
  </si>
  <si>
    <t>63.091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</si>
</sst>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right" vertical="center" readingOrder="1"/>
    </xf>
    <xf numFmtId="49" fontId="1" fillId="2" borderId="2" xfId="0" applyNumberFormat="1" applyFont="1" applyFill="1" applyBorder="1" applyAlignment="1">
      <alignment horizontal="right" vertical="center" readingOrder="1"/>
    </xf>
    <xf numFmtId="0" fontId="1" fillId="0" borderId="3" xfId="0" applyFont="1" applyBorder="1" applyAlignment="1">
      <alignment horizontal="right" vertical="center" readingOrder="1"/>
    </xf>
    <xf numFmtId="49" fontId="1" fillId="0" borderId="3" xfId="0" applyNumberFormat="1" applyFont="1" applyBorder="1" applyAlignment="1">
      <alignment horizontal="left" vertical="center" readingOrder="1"/>
    </xf>
    <xf numFmtId="49" fontId="1" fillId="0" borderId="3" xfId="0" applyNumberFormat="1" applyFont="1" applyBorder="1" applyAlignment="1">
      <alignment horizontal="right" vertical="center" readingOrder="1"/>
    </xf>
    <xf numFmtId="0" fontId="1" fillId="0" borderId="4" xfId="0" applyFont="1" applyBorder="1" applyAlignment="1">
      <alignment horizontal="right" vertical="center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31"/>
  <sheetViews>
    <sheetView showGridLines="0" tabSelected="1" topLeftCell="A16" workbookViewId="0">
      <selection activeCell="J2" sqref="J2:J31"/>
    </sheetView>
  </sheetViews>
  <sheetFormatPr defaultRowHeight="17.399999999999999"/>
  <cols>
    <col min="1" max="1" width="10" customWidth="1"/>
    <col min="2" max="2" width="9.69921875" customWidth="1"/>
    <col min="3" max="4" width="10" customWidth="1"/>
    <col min="5" max="5" width="9.69921875" customWidth="1"/>
    <col min="6" max="7" width="10" customWidth="1"/>
    <col min="8" max="8" width="9.69921875" customWidth="1"/>
    <col min="9" max="9" width="10" customWidth="1"/>
  </cols>
  <sheetData>
    <row r="1" spans="1:10" ht="16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</row>
    <row r="2" spans="1:10" ht="15" customHeight="1">
      <c r="A2" s="4">
        <v>1</v>
      </c>
      <c r="B2" s="5" t="s">
        <v>9</v>
      </c>
      <c r="C2" s="5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5" t="s">
        <v>15</v>
      </c>
      <c r="I2" s="7">
        <v>38.1</v>
      </c>
    </row>
    <row r="3" spans="1:10" ht="15.75" customHeight="1">
      <c r="A3" s="4">
        <v>2</v>
      </c>
      <c r="B3" s="5" t="s">
        <v>16</v>
      </c>
      <c r="C3" s="5" t="s">
        <v>10</v>
      </c>
      <c r="D3" s="6" t="s">
        <v>17</v>
      </c>
      <c r="E3" s="6" t="s">
        <v>18</v>
      </c>
      <c r="F3" s="6" t="s">
        <v>19</v>
      </c>
      <c r="G3" s="6" t="s">
        <v>20</v>
      </c>
      <c r="H3" s="5" t="s">
        <v>15</v>
      </c>
      <c r="I3" s="7">
        <v>38.1</v>
      </c>
      <c r="J3">
        <f>SQRT((D3-D2)^2+(E3-E2)^2+(F3-F2)^2)</f>
        <v>100.02733142496608</v>
      </c>
    </row>
    <row r="4" spans="1:10" ht="15.75" customHeight="1">
      <c r="A4" s="4">
        <v>3</v>
      </c>
      <c r="B4" s="5" t="s">
        <v>21</v>
      </c>
      <c r="C4" s="5" t="s">
        <v>10</v>
      </c>
      <c r="D4" s="6" t="s">
        <v>22</v>
      </c>
      <c r="E4" s="6" t="s">
        <v>23</v>
      </c>
      <c r="F4" s="6" t="s">
        <v>24</v>
      </c>
      <c r="G4" s="6" t="s">
        <v>25</v>
      </c>
      <c r="H4" s="5" t="s">
        <v>15</v>
      </c>
      <c r="I4" s="7">
        <v>38.1</v>
      </c>
    </row>
    <row r="5" spans="1:10" ht="15.75" customHeight="1">
      <c r="A5" s="4">
        <v>4</v>
      </c>
      <c r="B5" s="5" t="s">
        <v>26</v>
      </c>
      <c r="C5" s="5" t="s">
        <v>10</v>
      </c>
      <c r="D5" s="6" t="s">
        <v>27</v>
      </c>
      <c r="E5" s="6" t="s">
        <v>28</v>
      </c>
      <c r="F5" s="6" t="s">
        <v>29</v>
      </c>
      <c r="G5" s="6" t="s">
        <v>30</v>
      </c>
      <c r="H5" s="5" t="s">
        <v>15</v>
      </c>
      <c r="I5" s="7">
        <v>38.1</v>
      </c>
      <c r="J5">
        <f>SQRT((D5-D4)^2+(E5-E4)^2+(F5-F4)^2)</f>
        <v>100.02942089205554</v>
      </c>
    </row>
    <row r="6" spans="1:10" ht="15.75" customHeight="1">
      <c r="A6" s="4">
        <v>5</v>
      </c>
      <c r="B6" s="5" t="s">
        <v>31</v>
      </c>
      <c r="C6" s="5" t="s">
        <v>10</v>
      </c>
      <c r="D6" s="6" t="s">
        <v>32</v>
      </c>
      <c r="E6" s="6" t="s">
        <v>33</v>
      </c>
      <c r="F6" s="6" t="s">
        <v>34</v>
      </c>
      <c r="G6" s="6" t="s">
        <v>35</v>
      </c>
      <c r="H6" s="5" t="s">
        <v>15</v>
      </c>
      <c r="I6" s="7">
        <v>38.1</v>
      </c>
    </row>
    <row r="7" spans="1:10" ht="15" customHeight="1">
      <c r="A7" s="4">
        <v>6</v>
      </c>
      <c r="B7" s="5" t="s">
        <v>36</v>
      </c>
      <c r="C7" s="5" t="s">
        <v>10</v>
      </c>
      <c r="D7" s="6" t="s">
        <v>37</v>
      </c>
      <c r="E7" s="6" t="s">
        <v>38</v>
      </c>
      <c r="F7" s="6" t="s">
        <v>39</v>
      </c>
      <c r="G7" s="6" t="s">
        <v>40</v>
      </c>
      <c r="H7" s="5" t="s">
        <v>15</v>
      </c>
      <c r="I7" s="7">
        <v>38.1</v>
      </c>
      <c r="J7">
        <f>SQRT((D7-D6)^2+(E7-E6)^2+(F7-F6)^2)</f>
        <v>100.03337033710301</v>
      </c>
    </row>
    <row r="8" spans="1:10" ht="15.75" customHeight="1">
      <c r="A8" s="4">
        <v>7</v>
      </c>
      <c r="B8" s="5" t="s">
        <v>41</v>
      </c>
      <c r="C8" s="5" t="s">
        <v>10</v>
      </c>
      <c r="D8" s="6" t="s">
        <v>42</v>
      </c>
      <c r="E8" s="6" t="s">
        <v>43</v>
      </c>
      <c r="F8" s="6" t="s">
        <v>44</v>
      </c>
      <c r="G8" s="6" t="s">
        <v>35</v>
      </c>
      <c r="H8" s="5" t="s">
        <v>15</v>
      </c>
      <c r="I8" s="7">
        <v>38.1</v>
      </c>
    </row>
    <row r="9" spans="1:10" ht="15.75" customHeight="1">
      <c r="A9" s="4">
        <v>8</v>
      </c>
      <c r="B9" s="5" t="s">
        <v>45</v>
      </c>
      <c r="C9" s="5" t="s">
        <v>10</v>
      </c>
      <c r="D9" s="6" t="s">
        <v>46</v>
      </c>
      <c r="E9" s="6" t="s">
        <v>47</v>
      </c>
      <c r="F9" s="6" t="s">
        <v>48</v>
      </c>
      <c r="G9" s="6" t="s">
        <v>49</v>
      </c>
      <c r="H9" s="5" t="s">
        <v>15</v>
      </c>
      <c r="I9" s="7">
        <v>38.1</v>
      </c>
      <c r="J9">
        <f>SQRT((D9-D8)^2+(E9-E8)^2+(F9-F8)^2)</f>
        <v>100.04881937334403</v>
      </c>
    </row>
    <row r="10" spans="1:10" ht="15.75" customHeight="1">
      <c r="A10" s="4">
        <v>9</v>
      </c>
      <c r="B10" s="5" t="s">
        <v>50</v>
      </c>
      <c r="C10" s="5" t="s">
        <v>10</v>
      </c>
      <c r="D10" s="6" t="s">
        <v>51</v>
      </c>
      <c r="E10" s="6" t="s">
        <v>52</v>
      </c>
      <c r="F10" s="6" t="s">
        <v>53</v>
      </c>
      <c r="G10" s="6" t="s">
        <v>54</v>
      </c>
      <c r="H10" s="5" t="s">
        <v>15</v>
      </c>
      <c r="I10" s="7">
        <v>38.1</v>
      </c>
    </row>
    <row r="11" spans="1:10" ht="15.75" customHeight="1">
      <c r="A11" s="4">
        <v>10</v>
      </c>
      <c r="B11" s="5" t="s">
        <v>55</v>
      </c>
      <c r="C11" s="5" t="s">
        <v>10</v>
      </c>
      <c r="D11" s="6" t="s">
        <v>56</v>
      </c>
      <c r="E11" s="6" t="s">
        <v>57</v>
      </c>
      <c r="F11" s="6" t="s">
        <v>58</v>
      </c>
      <c r="G11" s="6" t="s">
        <v>59</v>
      </c>
      <c r="H11" s="5" t="s">
        <v>15</v>
      </c>
      <c r="I11" s="7">
        <v>38.1</v>
      </c>
      <c r="J11">
        <f>SQRT((D11-D10)^2+(E11-E10)^2+(F11-F10)^2)</f>
        <v>100.03124033520734</v>
      </c>
    </row>
    <row r="12" spans="1:10" ht="15" customHeight="1">
      <c r="A12" s="4">
        <v>11</v>
      </c>
      <c r="B12" s="5" t="s">
        <v>60</v>
      </c>
      <c r="C12" s="5" t="s">
        <v>10</v>
      </c>
      <c r="D12" s="6" t="s">
        <v>61</v>
      </c>
      <c r="E12" s="6" t="s">
        <v>62</v>
      </c>
      <c r="F12" s="6" t="s">
        <v>63</v>
      </c>
      <c r="G12" s="6" t="s">
        <v>64</v>
      </c>
      <c r="H12" s="5" t="s">
        <v>15</v>
      </c>
      <c r="I12" s="7">
        <v>38.1</v>
      </c>
    </row>
    <row r="13" spans="1:10" ht="15.75" customHeight="1">
      <c r="A13" s="4">
        <v>12</v>
      </c>
      <c r="B13" s="5" t="s">
        <v>65</v>
      </c>
      <c r="C13" s="5" t="s">
        <v>10</v>
      </c>
      <c r="D13" s="6" t="s">
        <v>37</v>
      </c>
      <c r="E13" s="6" t="s">
        <v>66</v>
      </c>
      <c r="F13" s="6" t="s">
        <v>67</v>
      </c>
      <c r="G13" s="6" t="s">
        <v>68</v>
      </c>
      <c r="H13" s="5" t="s">
        <v>15</v>
      </c>
      <c r="I13" s="7">
        <v>38.1</v>
      </c>
      <c r="J13">
        <f>SQRT((D13-D12)^2+(E13-E12)^2+(F13-F12)^2)</f>
        <v>101.10548805084717</v>
      </c>
    </row>
    <row r="14" spans="1:10" ht="15.75" customHeight="1">
      <c r="A14" s="4">
        <v>13</v>
      </c>
      <c r="B14" s="5" t="s">
        <v>69</v>
      </c>
      <c r="C14" s="5" t="s">
        <v>10</v>
      </c>
      <c r="D14" s="6" t="s">
        <v>70</v>
      </c>
      <c r="E14" s="6" t="s">
        <v>71</v>
      </c>
      <c r="F14" s="6" t="s">
        <v>72</v>
      </c>
      <c r="G14" s="6" t="s">
        <v>73</v>
      </c>
      <c r="H14" s="5" t="s">
        <v>15</v>
      </c>
      <c r="I14" s="7">
        <v>38.1</v>
      </c>
    </row>
    <row r="15" spans="1:10" ht="15.75" customHeight="1">
      <c r="A15" s="4">
        <v>14</v>
      </c>
      <c r="B15" s="5" t="s">
        <v>74</v>
      </c>
      <c r="C15" s="5" t="s">
        <v>10</v>
      </c>
      <c r="D15" s="6" t="s">
        <v>75</v>
      </c>
      <c r="E15" s="6" t="s">
        <v>76</v>
      </c>
      <c r="F15" s="6" t="s">
        <v>77</v>
      </c>
      <c r="G15" s="6" t="s">
        <v>78</v>
      </c>
      <c r="H15" s="5" t="s">
        <v>15</v>
      </c>
      <c r="I15" s="7">
        <v>38.1</v>
      </c>
      <c r="J15">
        <f>SQRT((D15-D14)^2+(E15-E14)^2+(F15-F14)^2)</f>
        <v>101.10169899165888</v>
      </c>
    </row>
    <row r="16" spans="1:10" ht="15.75" customHeight="1">
      <c r="A16" s="4">
        <v>15</v>
      </c>
      <c r="B16" s="5" t="s">
        <v>79</v>
      </c>
      <c r="C16" s="5" t="s">
        <v>10</v>
      </c>
      <c r="D16" s="6" t="s">
        <v>80</v>
      </c>
      <c r="E16" s="6" t="s">
        <v>81</v>
      </c>
      <c r="F16" s="6" t="s">
        <v>82</v>
      </c>
      <c r="G16" s="6" t="s">
        <v>83</v>
      </c>
      <c r="H16" s="5" t="s">
        <v>15</v>
      </c>
      <c r="I16" s="7">
        <v>38.1</v>
      </c>
    </row>
    <row r="17" spans="1:10" ht="15" customHeight="1">
      <c r="A17" s="4">
        <v>16</v>
      </c>
      <c r="B17" s="5" t="s">
        <v>84</v>
      </c>
      <c r="C17" s="5" t="s">
        <v>10</v>
      </c>
      <c r="D17" s="6" t="s">
        <v>17</v>
      </c>
      <c r="E17" s="6" t="s">
        <v>85</v>
      </c>
      <c r="F17" s="6" t="s">
        <v>86</v>
      </c>
      <c r="G17" s="6" t="s">
        <v>87</v>
      </c>
      <c r="H17" s="5" t="s">
        <v>15</v>
      </c>
      <c r="I17" s="7">
        <v>38.1</v>
      </c>
      <c r="J17">
        <f>SQRT((D17-D16)^2+(E17-E16)^2+(F17-F16)^2)</f>
        <v>101.10557886684589</v>
      </c>
    </row>
    <row r="18" spans="1:10" ht="15.75" customHeight="1">
      <c r="A18" s="4">
        <v>17</v>
      </c>
      <c r="B18" s="5" t="s">
        <v>88</v>
      </c>
      <c r="C18" s="5" t="s">
        <v>10</v>
      </c>
      <c r="D18" s="6" t="s">
        <v>89</v>
      </c>
      <c r="E18" s="6" t="s">
        <v>81</v>
      </c>
      <c r="F18" s="6" t="s">
        <v>90</v>
      </c>
      <c r="G18" s="6" t="s">
        <v>91</v>
      </c>
      <c r="H18" s="5" t="s">
        <v>15</v>
      </c>
      <c r="I18" s="7">
        <v>38.1</v>
      </c>
    </row>
    <row r="19" spans="1:10" ht="15.75" customHeight="1">
      <c r="A19" s="4">
        <v>18</v>
      </c>
      <c r="B19" s="5" t="s">
        <v>92</v>
      </c>
      <c r="C19" s="5" t="s">
        <v>10</v>
      </c>
      <c r="D19" s="6" t="s">
        <v>93</v>
      </c>
      <c r="E19" s="6" t="s">
        <v>94</v>
      </c>
      <c r="F19" s="6" t="s">
        <v>95</v>
      </c>
      <c r="G19" s="6" t="s">
        <v>96</v>
      </c>
      <c r="H19" s="5" t="s">
        <v>15</v>
      </c>
      <c r="I19" s="7">
        <v>38.1</v>
      </c>
      <c r="J19">
        <f>SQRT((D19-D18)^2+(E19-E18)^2+(F19-F18)^2)</f>
        <v>101.09266686560406</v>
      </c>
    </row>
    <row r="20" spans="1:10" ht="15.75" customHeight="1">
      <c r="A20" s="4">
        <v>19</v>
      </c>
      <c r="B20" s="5" t="s">
        <v>97</v>
      </c>
      <c r="C20" s="5" t="s">
        <v>10</v>
      </c>
      <c r="D20" s="6" t="s">
        <v>98</v>
      </c>
      <c r="E20" s="6" t="s">
        <v>99</v>
      </c>
      <c r="F20" s="6" t="s">
        <v>100</v>
      </c>
      <c r="G20" s="6" t="s">
        <v>101</v>
      </c>
      <c r="H20" s="5" t="s">
        <v>15</v>
      </c>
      <c r="I20" s="7">
        <v>38.1</v>
      </c>
    </row>
    <row r="21" spans="1:10" ht="15.75" customHeight="1">
      <c r="A21" s="4">
        <v>20</v>
      </c>
      <c r="B21" s="5" t="s">
        <v>102</v>
      </c>
      <c r="C21" s="5" t="s">
        <v>10</v>
      </c>
      <c r="D21" s="6" t="s">
        <v>103</v>
      </c>
      <c r="E21" s="6" t="s">
        <v>94</v>
      </c>
      <c r="F21" s="6" t="s">
        <v>104</v>
      </c>
      <c r="G21" s="6" t="s">
        <v>105</v>
      </c>
      <c r="H21" s="5" t="s">
        <v>15</v>
      </c>
      <c r="I21" s="7">
        <v>38.1</v>
      </c>
      <c r="J21">
        <f>SQRT((D21-D20)^2+(E21-E20)^2+(F21-F20)^2)</f>
        <v>101.0946078087254</v>
      </c>
    </row>
    <row r="22" spans="1:10" ht="15" customHeight="1">
      <c r="A22" s="4">
        <v>21</v>
      </c>
      <c r="B22" s="5" t="s">
        <v>106</v>
      </c>
      <c r="C22" s="5" t="s">
        <v>10</v>
      </c>
      <c r="D22" s="6" t="s">
        <v>107</v>
      </c>
      <c r="E22" s="6" t="s">
        <v>108</v>
      </c>
      <c r="F22" s="6" t="s">
        <v>109</v>
      </c>
      <c r="G22" s="6" t="s">
        <v>110</v>
      </c>
      <c r="H22" s="5" t="s">
        <v>15</v>
      </c>
      <c r="I22" s="7">
        <v>38.1</v>
      </c>
    </row>
    <row r="23" spans="1:10" ht="15.75" customHeight="1">
      <c r="A23" s="4">
        <v>22</v>
      </c>
      <c r="B23" s="5" t="s">
        <v>111</v>
      </c>
      <c r="C23" s="5" t="s">
        <v>10</v>
      </c>
      <c r="D23" s="6" t="s">
        <v>112</v>
      </c>
      <c r="E23" s="6" t="s">
        <v>113</v>
      </c>
      <c r="F23" s="6" t="s">
        <v>114</v>
      </c>
      <c r="G23" s="6" t="s">
        <v>115</v>
      </c>
      <c r="H23" s="5" t="s">
        <v>15</v>
      </c>
      <c r="I23" s="7">
        <v>38.1</v>
      </c>
      <c r="J23">
        <f>SQRT((D23-D22)^2+(E23-E22)^2+(F23-F22)^2)</f>
        <v>100.43968499552356</v>
      </c>
    </row>
    <row r="24" spans="1:10" ht="15.75" customHeight="1">
      <c r="A24" s="4">
        <v>23</v>
      </c>
      <c r="B24" s="5" t="s">
        <v>116</v>
      </c>
      <c r="C24" s="5" t="s">
        <v>10</v>
      </c>
      <c r="D24" s="6" t="s">
        <v>117</v>
      </c>
      <c r="E24" s="6" t="s">
        <v>118</v>
      </c>
      <c r="F24" s="6" t="s">
        <v>119</v>
      </c>
      <c r="G24" s="6" t="s">
        <v>120</v>
      </c>
      <c r="H24" s="5" t="s">
        <v>15</v>
      </c>
      <c r="I24" s="7">
        <v>38.1</v>
      </c>
    </row>
    <row r="25" spans="1:10" ht="15.75" customHeight="1">
      <c r="A25" s="4">
        <v>24</v>
      </c>
      <c r="B25" s="5" t="s">
        <v>121</v>
      </c>
      <c r="C25" s="5" t="s">
        <v>10</v>
      </c>
      <c r="D25" s="6" t="s">
        <v>122</v>
      </c>
      <c r="E25" s="6" t="s">
        <v>123</v>
      </c>
      <c r="F25" s="6" t="s">
        <v>124</v>
      </c>
      <c r="G25" s="6" t="s">
        <v>125</v>
      </c>
      <c r="H25" s="5" t="s">
        <v>15</v>
      </c>
      <c r="I25" s="7">
        <v>38.1</v>
      </c>
      <c r="J25">
        <f>SQRT((D25-D24)^2+(E25-E24)^2+(F25-F24)^2)</f>
        <v>100.47978816159991</v>
      </c>
    </row>
    <row r="26" spans="1:10" ht="15.75" customHeight="1">
      <c r="A26" s="4">
        <v>25</v>
      </c>
      <c r="B26" s="5" t="s">
        <v>126</v>
      </c>
      <c r="C26" s="5" t="s">
        <v>10</v>
      </c>
      <c r="D26" s="6" t="s">
        <v>127</v>
      </c>
      <c r="E26" s="6" t="s">
        <v>128</v>
      </c>
      <c r="F26" s="6" t="s">
        <v>129</v>
      </c>
      <c r="G26" s="6" t="s">
        <v>130</v>
      </c>
      <c r="H26" s="5" t="s">
        <v>15</v>
      </c>
      <c r="I26" s="7">
        <v>38.1</v>
      </c>
    </row>
    <row r="27" spans="1:10" ht="15" customHeight="1">
      <c r="A27" s="4">
        <v>26</v>
      </c>
      <c r="B27" s="5" t="s">
        <v>131</v>
      </c>
      <c r="C27" s="5" t="s">
        <v>10</v>
      </c>
      <c r="D27" s="6" t="s">
        <v>112</v>
      </c>
      <c r="E27" s="6" t="s">
        <v>132</v>
      </c>
      <c r="F27" s="6" t="s">
        <v>133</v>
      </c>
      <c r="G27" s="6" t="s">
        <v>134</v>
      </c>
      <c r="H27" s="5" t="s">
        <v>15</v>
      </c>
      <c r="I27" s="7">
        <v>38.1</v>
      </c>
      <c r="J27">
        <f>SQRT((D27-D26)^2+(E27-E26)^2+(F27-F26)^2)</f>
        <v>100.45473482618925</v>
      </c>
    </row>
    <row r="28" spans="1:10" ht="15.75" customHeight="1">
      <c r="A28" s="4">
        <v>27</v>
      </c>
      <c r="B28" s="5" t="s">
        <v>135</v>
      </c>
      <c r="C28" s="5" t="s">
        <v>10</v>
      </c>
      <c r="D28" s="6" t="s">
        <v>136</v>
      </c>
      <c r="E28" s="6" t="s">
        <v>137</v>
      </c>
      <c r="F28" s="6" t="s">
        <v>138</v>
      </c>
      <c r="G28" s="6" t="s">
        <v>139</v>
      </c>
      <c r="H28" s="5" t="s">
        <v>15</v>
      </c>
      <c r="I28" s="7">
        <v>38.1</v>
      </c>
    </row>
    <row r="29" spans="1:10" ht="15.75" customHeight="1">
      <c r="A29" s="4">
        <v>28</v>
      </c>
      <c r="B29" s="5" t="s">
        <v>140</v>
      </c>
      <c r="C29" s="5" t="s">
        <v>10</v>
      </c>
      <c r="D29" s="6" t="s">
        <v>141</v>
      </c>
      <c r="E29" s="6" t="s">
        <v>142</v>
      </c>
      <c r="F29" s="6" t="s">
        <v>143</v>
      </c>
      <c r="G29" s="6" t="s">
        <v>144</v>
      </c>
      <c r="H29" s="5" t="s">
        <v>15</v>
      </c>
      <c r="I29" s="7">
        <v>38.1</v>
      </c>
      <c r="J29">
        <f>SQRT((D29-D28)^2+(E29-E28)^2+(F29-F28)^2)</f>
        <v>100.45959540531706</v>
      </c>
    </row>
    <row r="30" spans="1:10" ht="15.75" customHeight="1">
      <c r="A30" s="4">
        <v>29</v>
      </c>
      <c r="B30" s="5" t="s">
        <v>145</v>
      </c>
      <c r="C30" s="5" t="s">
        <v>10</v>
      </c>
      <c r="D30" s="6" t="s">
        <v>146</v>
      </c>
      <c r="E30" s="6" t="s">
        <v>147</v>
      </c>
      <c r="F30" s="6" t="s">
        <v>148</v>
      </c>
      <c r="G30" s="6" t="s">
        <v>149</v>
      </c>
      <c r="H30" s="5" t="s">
        <v>15</v>
      </c>
      <c r="I30" s="7">
        <v>38.1</v>
      </c>
    </row>
    <row r="31" spans="1:10" ht="15.75" customHeight="1">
      <c r="A31" s="4">
        <v>30</v>
      </c>
      <c r="B31" s="5" t="s">
        <v>150</v>
      </c>
      <c r="C31" s="5" t="s">
        <v>10</v>
      </c>
      <c r="D31" s="6" t="s">
        <v>151</v>
      </c>
      <c r="E31" s="6" t="s">
        <v>152</v>
      </c>
      <c r="F31" s="6" t="s">
        <v>153</v>
      </c>
      <c r="G31" s="6" t="s">
        <v>154</v>
      </c>
      <c r="H31" s="5" t="s">
        <v>15</v>
      </c>
      <c r="I31" s="7">
        <v>38.1</v>
      </c>
      <c r="J31">
        <f>SQRT((D31-D30)^2+(E31-E30)^2+(F31-F30)^2)</f>
        <v>100.48177521321956</v>
      </c>
    </row>
  </sheetData>
  <phoneticPr fontId="2" type="noConversion"/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정청운</cp:lastModifiedBy>
  <dcterms:created xsi:type="dcterms:W3CDTF">2026-04-06T07:32:06Z</dcterms:created>
  <dcterms:modified xsi:type="dcterms:W3CDTF">2026-04-06T08:04:10Z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22.1.6.0</vt:lpwstr>
  </property>
</Properties>
</file>