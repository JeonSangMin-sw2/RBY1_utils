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레인보우로보틱스\Desktop\"/>
    </mc:Choice>
  </mc:AlternateContent>
  <xr:revisionPtr revIDLastSave="0" documentId="13_ncr:1_{0C514975-635F-4B04-BF54-0519E401B5C5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1" i="1"/>
  <c r="J13" i="1"/>
  <c r="J15" i="1"/>
  <c r="J17" i="1"/>
  <c r="J19" i="1"/>
  <c r="J21" i="1"/>
  <c r="J23" i="1"/>
  <c r="J25" i="1"/>
  <c r="J27" i="1"/>
  <c r="J29" i="1"/>
  <c r="J31" i="1"/>
  <c r="J7" i="1"/>
  <c r="J5" i="1"/>
  <c r="J3" i="1"/>
</calcChain>
</file>

<file path=xl/sharedStrings.xml><?xml version="1.0" encoding="utf-8"?>
<sst xmlns="http://schemas.openxmlformats.org/spreadsheetml/2006/main" count="219" uniqueCount="149">
  <si>
    <t>ID</t>
  </si>
  <si>
    <t>Time Stamp</t>
  </si>
  <si>
    <t>Temperature</t>
  </si>
  <si>
    <t>x</t>
  </si>
  <si>
    <t>y</t>
  </si>
  <si>
    <t>z</t>
  </si>
  <si>
    <t>Dev From Fit</t>
  </si>
  <si>
    <t>Device Position</t>
  </si>
  <si>
    <t>Probe</t>
  </si>
  <si>
    <t>1:53:40.145 PM</t>
  </si>
  <si>
    <t>22.20°C</t>
  </si>
  <si>
    <t>744.840</t>
  </si>
  <si>
    <t>-255.589</t>
  </si>
  <si>
    <t>757.511</t>
  </si>
  <si>
    <t>85.131</t>
  </si>
  <si>
    <t>Device Position 1</t>
  </si>
  <si>
    <t>1:53:47.408 PM</t>
  </si>
  <si>
    <t>644.590</t>
  </si>
  <si>
    <t>-254.943</t>
  </si>
  <si>
    <t>756.500</t>
  </si>
  <si>
    <t>23.639</t>
  </si>
  <si>
    <t>1:53:54.418 PM</t>
  </si>
  <si>
    <t>744.877</t>
  </si>
  <si>
    <t>-255.565</t>
  </si>
  <si>
    <t>757.490</t>
  </si>
  <si>
    <t>85.172</t>
  </si>
  <si>
    <t>1:54:01.872 PM</t>
  </si>
  <si>
    <t>644.597</t>
  </si>
  <si>
    <t>-254.947</t>
  </si>
  <si>
    <t>23.632</t>
  </si>
  <si>
    <t>1:54:09.507 PM</t>
  </si>
  <si>
    <t>744.876</t>
  </si>
  <si>
    <t>-255.572</t>
  </si>
  <si>
    <t>757.484</t>
  </si>
  <si>
    <t>85.170</t>
  </si>
  <si>
    <t>1:54:16.404 PM</t>
  </si>
  <si>
    <t>644.602</t>
  </si>
  <si>
    <t>-254.954</t>
  </si>
  <si>
    <t>756.491</t>
  </si>
  <si>
    <t>23.623</t>
  </si>
  <si>
    <t>1:54:23.439 PM</t>
  </si>
  <si>
    <t>744.865</t>
  </si>
  <si>
    <t>757.488</t>
  </si>
  <si>
    <t>85.159</t>
  </si>
  <si>
    <t>1:54:30.174 PM</t>
  </si>
  <si>
    <t>644.603</t>
  </si>
  <si>
    <t>-254.953</t>
  </si>
  <si>
    <t>756.497</t>
  </si>
  <si>
    <t>23.624</t>
  </si>
  <si>
    <t>1:54:37.427 PM</t>
  </si>
  <si>
    <t>744.863</t>
  </si>
  <si>
    <t>757.501</t>
  </si>
  <si>
    <t>85.158</t>
  </si>
  <si>
    <t>1:54:44.752 PM</t>
  </si>
  <si>
    <t>644.595</t>
  </si>
  <si>
    <t>756.513</t>
  </si>
  <si>
    <t>23.636</t>
  </si>
  <si>
    <t>1:54:53.456 PM</t>
  </si>
  <si>
    <t>644.807</t>
  </si>
  <si>
    <t>-204.798</t>
  </si>
  <si>
    <t>756.377</t>
  </si>
  <si>
    <t>68.905</t>
  </si>
  <si>
    <t>1:55:00.518 PM</t>
  </si>
  <si>
    <t>644.428</t>
  </si>
  <si>
    <t>-304.992</t>
  </si>
  <si>
    <t>756.578</t>
  </si>
  <si>
    <t>37.293</t>
  </si>
  <si>
    <t>1:55:07.745 PM</t>
  </si>
  <si>
    <t>644.799</t>
  </si>
  <si>
    <t>-204.803</t>
  </si>
  <si>
    <t>756.390</t>
  </si>
  <si>
    <t>68.902</t>
  </si>
  <si>
    <t>1:55:14.335 PM</t>
  </si>
  <si>
    <t>644.439</t>
  </si>
  <si>
    <t>-305.006</t>
  </si>
  <si>
    <t>756.568</t>
  </si>
  <si>
    <t>37.301</t>
  </si>
  <si>
    <t>1:55:21.123 PM</t>
  </si>
  <si>
    <t>644.781</t>
  </si>
  <si>
    <t>-204.810</t>
  </si>
  <si>
    <t>68.899</t>
  </si>
  <si>
    <t>1:55:28.067 PM</t>
  </si>
  <si>
    <t>644.425</t>
  </si>
  <si>
    <t>-305.002</t>
  </si>
  <si>
    <t>756.564</t>
  </si>
  <si>
    <t>37.303</t>
  </si>
  <si>
    <t>1:55:35.624 PM</t>
  </si>
  <si>
    <t>644.785</t>
  </si>
  <si>
    <t>-204.812</t>
  </si>
  <si>
    <t>68.896</t>
  </si>
  <si>
    <t>1:55:43.262 PM</t>
  </si>
  <si>
    <t>644.432</t>
  </si>
  <si>
    <t>-305.007</t>
  </si>
  <si>
    <t>756.552</t>
  </si>
  <si>
    <t>37.305</t>
  </si>
  <si>
    <t>1:55:52.464 PM</t>
  </si>
  <si>
    <t>644.783</t>
  </si>
  <si>
    <t>-204.811</t>
  </si>
  <si>
    <t>756.388</t>
  </si>
  <si>
    <t>68.897</t>
  </si>
  <si>
    <t>1:55:59.890 PM</t>
  </si>
  <si>
    <t>644.424</t>
  </si>
  <si>
    <t>-305.009</t>
  </si>
  <si>
    <t>756.555</t>
  </si>
  <si>
    <t>37.310</t>
  </si>
  <si>
    <t>1:56:07.197 PM</t>
  </si>
  <si>
    <t>643.748</t>
  </si>
  <si>
    <t>806.740</t>
  </si>
  <si>
    <t>62.596</t>
  </si>
  <si>
    <t>1:56:13.982 PM</t>
  </si>
  <si>
    <t>645.089</t>
  </si>
  <si>
    <t>-304.932</t>
  </si>
  <si>
    <t>706.536</t>
  </si>
  <si>
    <t>62.307</t>
  </si>
  <si>
    <t>1:56:20.739 PM</t>
  </si>
  <si>
    <t>643.736</t>
  </si>
  <si>
    <t>-305.003</t>
  </si>
  <si>
    <t>806.765</t>
  </si>
  <si>
    <t>62.617</t>
  </si>
  <si>
    <t>1:56:27.777 PM</t>
  </si>
  <si>
    <t>645.090</t>
  </si>
  <si>
    <t>-304.947</t>
  </si>
  <si>
    <t>706.544</t>
  </si>
  <si>
    <t>62.308</t>
  </si>
  <si>
    <t>1:56:34.589 PM</t>
  </si>
  <si>
    <t>643.742</t>
  </si>
  <si>
    <t>806.758</t>
  </si>
  <si>
    <t>62.604</t>
  </si>
  <si>
    <t>1:56:41.555 PM</t>
  </si>
  <si>
    <t>645.087</t>
  </si>
  <si>
    <t>706.547</t>
  </si>
  <si>
    <t>1:56:48.888 PM</t>
  </si>
  <si>
    <t>-304.985</t>
  </si>
  <si>
    <t>806.756</t>
  </si>
  <si>
    <t>62.597</t>
  </si>
  <si>
    <t>1:56:56.271 PM</t>
  </si>
  <si>
    <t>-304.937</t>
  </si>
  <si>
    <t>706.562</t>
  </si>
  <si>
    <t>62.290</t>
  </si>
  <si>
    <t>1:57:03.394 PM</t>
  </si>
  <si>
    <t>643.744</t>
  </si>
  <si>
    <t>-304.966</t>
  </si>
  <si>
    <t>806.750</t>
  </si>
  <si>
    <t>62.584</t>
  </si>
  <si>
    <t>1:57:10.492 PM</t>
  </si>
  <si>
    <t>645.102</t>
  </si>
  <si>
    <t>-304.940</t>
  </si>
  <si>
    <t>706.561</t>
  </si>
  <si>
    <t>62.287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</si>
</sst>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right" vertical="center" readingOrder="1"/>
    </xf>
    <xf numFmtId="49" fontId="1" fillId="2" borderId="2" xfId="0" applyNumberFormat="1" applyFont="1" applyFill="1" applyBorder="1" applyAlignment="1">
      <alignment horizontal="right" vertical="center" readingOrder="1"/>
    </xf>
    <xf numFmtId="0" fontId="1" fillId="0" borderId="3" xfId="0" applyFont="1" applyBorder="1" applyAlignment="1">
      <alignment horizontal="right" vertical="center" readingOrder="1"/>
    </xf>
    <xf numFmtId="49" fontId="1" fillId="0" borderId="3" xfId="0" applyNumberFormat="1" applyFont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right" vertical="center" readingOrder="1"/>
    </xf>
    <xf numFmtId="0" fontId="1" fillId="0" borderId="4" xfId="0" applyFont="1" applyBorder="1" applyAlignment="1">
      <alignment horizontal="righ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1"/>
  <sheetViews>
    <sheetView showGridLines="0" tabSelected="1" topLeftCell="B1" workbookViewId="0">
      <selection activeCell="K7" sqref="K7"/>
    </sheetView>
  </sheetViews>
  <sheetFormatPr defaultRowHeight="17.399999999999999"/>
  <cols>
    <col min="1" max="1" width="10" customWidth="1"/>
    <col min="2" max="2" width="9.69921875" customWidth="1"/>
    <col min="3" max="4" width="10" customWidth="1"/>
    <col min="5" max="5" width="9.69921875" customWidth="1"/>
    <col min="6" max="7" width="10" customWidth="1"/>
    <col min="8" max="8" width="9.69921875" customWidth="1"/>
    <col min="9" max="9" width="10" customWidth="1"/>
  </cols>
  <sheetData>
    <row r="1" spans="1:10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spans="1:10" ht="15" customHeight="1">
      <c r="A2" s="4">
        <v>1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5" t="s">
        <v>15</v>
      </c>
      <c r="I2" s="7">
        <v>38.1</v>
      </c>
    </row>
    <row r="3" spans="1:10" ht="15.75" customHeight="1">
      <c r="A3" s="4">
        <v>2</v>
      </c>
      <c r="B3" s="5" t="s">
        <v>16</v>
      </c>
      <c r="C3" s="5" t="s">
        <v>10</v>
      </c>
      <c r="D3" s="6" t="s">
        <v>17</v>
      </c>
      <c r="E3" s="6" t="s">
        <v>18</v>
      </c>
      <c r="F3" s="6" t="s">
        <v>19</v>
      </c>
      <c r="G3" s="6" t="s">
        <v>20</v>
      </c>
      <c r="H3" s="5" t="s">
        <v>15</v>
      </c>
      <c r="I3" s="7">
        <v>38.1</v>
      </c>
      <c r="J3">
        <f>SQRT((D3-D2)^2+(E3-E2)^2+(F3-F2)^2)</f>
        <v>100.25717897986158</v>
      </c>
    </row>
    <row r="4" spans="1:10" ht="15.75" customHeight="1">
      <c r="A4" s="4">
        <v>3</v>
      </c>
      <c r="B4" s="5" t="s">
        <v>21</v>
      </c>
      <c r="C4" s="5" t="s">
        <v>10</v>
      </c>
      <c r="D4" s="6" t="s">
        <v>22</v>
      </c>
      <c r="E4" s="6" t="s">
        <v>23</v>
      </c>
      <c r="F4" s="6" t="s">
        <v>24</v>
      </c>
      <c r="G4" s="6" t="s">
        <v>25</v>
      </c>
      <c r="H4" s="5" t="s">
        <v>15</v>
      </c>
      <c r="I4" s="7">
        <v>38.1</v>
      </c>
    </row>
    <row r="5" spans="1:10" ht="15.75" customHeight="1">
      <c r="A5" s="4">
        <v>4</v>
      </c>
      <c r="B5" s="5" t="s">
        <v>26</v>
      </c>
      <c r="C5" s="5" t="s">
        <v>10</v>
      </c>
      <c r="D5" s="6" t="s">
        <v>27</v>
      </c>
      <c r="E5" s="6" t="s">
        <v>28</v>
      </c>
      <c r="F5" s="6" t="s">
        <v>19</v>
      </c>
      <c r="G5" s="6" t="s">
        <v>29</v>
      </c>
      <c r="H5" s="5" t="s">
        <v>15</v>
      </c>
      <c r="I5" s="7">
        <v>38.1</v>
      </c>
      <c r="J5">
        <f>SQRT((D5-D4)^2+(E5-E4)^2+(F5-F4)^2)</f>
        <v>100.28679087497014</v>
      </c>
    </row>
    <row r="6" spans="1:10" ht="15.75" customHeight="1">
      <c r="A6" s="4">
        <v>5</v>
      </c>
      <c r="B6" s="5" t="s">
        <v>30</v>
      </c>
      <c r="C6" s="5" t="s">
        <v>10</v>
      </c>
      <c r="D6" s="6" t="s">
        <v>31</v>
      </c>
      <c r="E6" s="6" t="s">
        <v>32</v>
      </c>
      <c r="F6" s="6" t="s">
        <v>33</v>
      </c>
      <c r="G6" s="6" t="s">
        <v>34</v>
      </c>
      <c r="H6" s="5" t="s">
        <v>15</v>
      </c>
      <c r="I6" s="7">
        <v>38.1</v>
      </c>
    </row>
    <row r="7" spans="1:10" ht="15" customHeight="1">
      <c r="A7" s="4">
        <v>6</v>
      </c>
      <c r="B7" s="5" t="s">
        <v>35</v>
      </c>
      <c r="C7" s="5" t="s">
        <v>10</v>
      </c>
      <c r="D7" s="6" t="s">
        <v>36</v>
      </c>
      <c r="E7" s="6" t="s">
        <v>37</v>
      </c>
      <c r="F7" s="6" t="s">
        <v>38</v>
      </c>
      <c r="G7" s="6" t="s">
        <v>39</v>
      </c>
      <c r="H7" s="5" t="s">
        <v>15</v>
      </c>
      <c r="I7" s="7">
        <v>38.1</v>
      </c>
      <c r="J7">
        <f>SQRT((D7-D6)^2+(E7-E6)^2+(F7-F6)^2)</f>
        <v>100.28082094298989</v>
      </c>
    </row>
    <row r="8" spans="1:10" ht="15.75" customHeight="1">
      <c r="A8" s="4">
        <v>7</v>
      </c>
      <c r="B8" s="5" t="s">
        <v>40</v>
      </c>
      <c r="C8" s="5" t="s">
        <v>10</v>
      </c>
      <c r="D8" s="6" t="s">
        <v>41</v>
      </c>
      <c r="E8" s="6" t="s">
        <v>32</v>
      </c>
      <c r="F8" s="6" t="s">
        <v>42</v>
      </c>
      <c r="G8" s="6" t="s">
        <v>43</v>
      </c>
      <c r="H8" s="5" t="s">
        <v>15</v>
      </c>
      <c r="I8" s="7">
        <v>38.1</v>
      </c>
    </row>
    <row r="9" spans="1:10" ht="15.75" customHeight="1">
      <c r="A9" s="4">
        <v>8</v>
      </c>
      <c r="B9" s="5" t="s">
        <v>44</v>
      </c>
      <c r="C9" s="5" t="s">
        <v>10</v>
      </c>
      <c r="D9" s="6" t="s">
        <v>45</v>
      </c>
      <c r="E9" s="6" t="s">
        <v>46</v>
      </c>
      <c r="F9" s="6" t="s">
        <v>47</v>
      </c>
      <c r="G9" s="6" t="s">
        <v>48</v>
      </c>
      <c r="H9" s="5" t="s">
        <v>15</v>
      </c>
      <c r="I9" s="7">
        <v>38.1</v>
      </c>
      <c r="J9">
        <f t="shared" ref="J9:J31" si="0">SQRT((D9-D8)^2+(E9-E8)^2+(F9-F8)^2)</f>
        <v>100.26880814091695</v>
      </c>
    </row>
    <row r="10" spans="1:10" ht="15.75" customHeight="1">
      <c r="A10" s="4">
        <v>9</v>
      </c>
      <c r="B10" s="5" t="s">
        <v>49</v>
      </c>
      <c r="C10" s="5" t="s">
        <v>10</v>
      </c>
      <c r="D10" s="6" t="s">
        <v>50</v>
      </c>
      <c r="E10" s="6" t="s">
        <v>23</v>
      </c>
      <c r="F10" s="6" t="s">
        <v>51</v>
      </c>
      <c r="G10" s="6" t="s">
        <v>52</v>
      </c>
      <c r="H10" s="5" t="s">
        <v>15</v>
      </c>
      <c r="I10" s="7">
        <v>38.1</v>
      </c>
    </row>
    <row r="11" spans="1:10" ht="15.75" customHeight="1">
      <c r="A11" s="4">
        <v>10</v>
      </c>
      <c r="B11" s="5" t="s">
        <v>53</v>
      </c>
      <c r="C11" s="5" t="s">
        <v>10</v>
      </c>
      <c r="D11" s="6" t="s">
        <v>54</v>
      </c>
      <c r="E11" s="6" t="s">
        <v>18</v>
      </c>
      <c r="F11" s="6" t="s">
        <v>55</v>
      </c>
      <c r="G11" s="6" t="s">
        <v>56</v>
      </c>
      <c r="H11" s="5" t="s">
        <v>15</v>
      </c>
      <c r="I11" s="7">
        <v>38.1</v>
      </c>
      <c r="J11">
        <f t="shared" ref="J11:J31" si="1">SQRT((D11-D10)^2+(E11-E10)^2+(F11-F10)^2)</f>
        <v>100.27479669388518</v>
      </c>
    </row>
    <row r="12" spans="1:10" ht="15" customHeight="1">
      <c r="A12" s="4">
        <v>11</v>
      </c>
      <c r="B12" s="5" t="s">
        <v>57</v>
      </c>
      <c r="C12" s="5" t="s">
        <v>10</v>
      </c>
      <c r="D12" s="6" t="s">
        <v>58</v>
      </c>
      <c r="E12" s="6" t="s">
        <v>59</v>
      </c>
      <c r="F12" s="6" t="s">
        <v>60</v>
      </c>
      <c r="G12" s="6" t="s">
        <v>61</v>
      </c>
      <c r="H12" s="5" t="s">
        <v>15</v>
      </c>
      <c r="I12" s="7">
        <v>38.1</v>
      </c>
    </row>
    <row r="13" spans="1:10" ht="15.75" customHeight="1">
      <c r="A13" s="4">
        <v>12</v>
      </c>
      <c r="B13" s="5" t="s">
        <v>62</v>
      </c>
      <c r="C13" s="5" t="s">
        <v>10</v>
      </c>
      <c r="D13" s="6" t="s">
        <v>63</v>
      </c>
      <c r="E13" s="6" t="s">
        <v>64</v>
      </c>
      <c r="F13" s="6" t="s">
        <v>65</v>
      </c>
      <c r="G13" s="6" t="s">
        <v>66</v>
      </c>
      <c r="H13" s="5" t="s">
        <v>15</v>
      </c>
      <c r="I13" s="7">
        <v>38.1</v>
      </c>
      <c r="J13">
        <f t="shared" ref="J13:J31" si="2">SQRT((D13-D12)^2+(E13-E12)^2+(F13-F12)^2)</f>
        <v>100.19491842403987</v>
      </c>
    </row>
    <row r="14" spans="1:10" ht="15.75" customHeight="1">
      <c r="A14" s="4">
        <v>13</v>
      </c>
      <c r="B14" s="5" t="s">
        <v>67</v>
      </c>
      <c r="C14" s="5" t="s">
        <v>10</v>
      </c>
      <c r="D14" s="6" t="s">
        <v>68</v>
      </c>
      <c r="E14" s="6" t="s">
        <v>69</v>
      </c>
      <c r="F14" s="6" t="s">
        <v>70</v>
      </c>
      <c r="G14" s="6" t="s">
        <v>71</v>
      </c>
      <c r="H14" s="5" t="s">
        <v>15</v>
      </c>
      <c r="I14" s="7">
        <v>38.1</v>
      </c>
    </row>
    <row r="15" spans="1:10" ht="15.75" customHeight="1">
      <c r="A15" s="4">
        <v>14</v>
      </c>
      <c r="B15" s="5" t="s">
        <v>72</v>
      </c>
      <c r="C15" s="5" t="s">
        <v>10</v>
      </c>
      <c r="D15" s="6" t="s">
        <v>73</v>
      </c>
      <c r="E15" s="6" t="s">
        <v>74</v>
      </c>
      <c r="F15" s="6" t="s">
        <v>75</v>
      </c>
      <c r="G15" s="6" t="s">
        <v>76</v>
      </c>
      <c r="H15" s="5" t="s">
        <v>15</v>
      </c>
      <c r="I15" s="7">
        <v>38.1</v>
      </c>
      <c r="J15">
        <f t="shared" ref="J15:J31" si="3">SQRT((D15-D14)^2+(E15-E14)^2+(F15-F14)^2)</f>
        <v>100.20380478305201</v>
      </c>
    </row>
    <row r="16" spans="1:10" ht="15.75" customHeight="1">
      <c r="A16" s="4">
        <v>15</v>
      </c>
      <c r="B16" s="5" t="s">
        <v>77</v>
      </c>
      <c r="C16" s="5" t="s">
        <v>10</v>
      </c>
      <c r="D16" s="6" t="s">
        <v>78</v>
      </c>
      <c r="E16" s="6" t="s">
        <v>79</v>
      </c>
      <c r="F16" s="6" t="s">
        <v>70</v>
      </c>
      <c r="G16" s="6" t="s">
        <v>80</v>
      </c>
      <c r="H16" s="5" t="s">
        <v>15</v>
      </c>
      <c r="I16" s="7">
        <v>38.1</v>
      </c>
    </row>
    <row r="17" spans="1:10" ht="15" customHeight="1">
      <c r="A17" s="4">
        <v>16</v>
      </c>
      <c r="B17" s="5" t="s">
        <v>81</v>
      </c>
      <c r="C17" s="5" t="s">
        <v>10</v>
      </c>
      <c r="D17" s="6" t="s">
        <v>82</v>
      </c>
      <c r="E17" s="6" t="s">
        <v>83</v>
      </c>
      <c r="F17" s="6" t="s">
        <v>84</v>
      </c>
      <c r="G17" s="6" t="s">
        <v>85</v>
      </c>
      <c r="H17" s="5" t="s">
        <v>15</v>
      </c>
      <c r="I17" s="7">
        <v>38.1</v>
      </c>
      <c r="J17">
        <f t="shared" ref="J17:J31" si="4">SQRT((D17-D16)^2+(E17-E16)^2+(F17-F16)^2)</f>
        <v>100.19278355250941</v>
      </c>
    </row>
    <row r="18" spans="1:10" ht="15.75" customHeight="1">
      <c r="A18" s="4">
        <v>17</v>
      </c>
      <c r="B18" s="5" t="s">
        <v>86</v>
      </c>
      <c r="C18" s="5" t="s">
        <v>10</v>
      </c>
      <c r="D18" s="6" t="s">
        <v>87</v>
      </c>
      <c r="E18" s="6" t="s">
        <v>88</v>
      </c>
      <c r="F18" s="6" t="s">
        <v>70</v>
      </c>
      <c r="G18" s="6" t="s">
        <v>89</v>
      </c>
      <c r="H18" s="5" t="s">
        <v>15</v>
      </c>
      <c r="I18" s="7">
        <v>38.1</v>
      </c>
    </row>
    <row r="19" spans="1:10" ht="15.75" customHeight="1">
      <c r="A19" s="4">
        <v>18</v>
      </c>
      <c r="B19" s="5" t="s">
        <v>90</v>
      </c>
      <c r="C19" s="5" t="s">
        <v>10</v>
      </c>
      <c r="D19" s="6" t="s">
        <v>91</v>
      </c>
      <c r="E19" s="6" t="s">
        <v>92</v>
      </c>
      <c r="F19" s="6" t="s">
        <v>93</v>
      </c>
      <c r="G19" s="6" t="s">
        <v>94</v>
      </c>
      <c r="H19" s="5" t="s">
        <v>15</v>
      </c>
      <c r="I19" s="7">
        <v>38.1</v>
      </c>
      <c r="J19">
        <f t="shared" ref="J19:J31" si="5">SQRT((D19-D18)^2+(E19-E18)^2+(F19-F18)^2)</f>
        <v>100.19575279421777</v>
      </c>
    </row>
    <row r="20" spans="1:10" ht="15.75" customHeight="1">
      <c r="A20" s="4">
        <v>19</v>
      </c>
      <c r="B20" s="5" t="s">
        <v>95</v>
      </c>
      <c r="C20" s="5" t="s">
        <v>10</v>
      </c>
      <c r="D20" s="6" t="s">
        <v>96</v>
      </c>
      <c r="E20" s="6" t="s">
        <v>97</v>
      </c>
      <c r="F20" s="6" t="s">
        <v>98</v>
      </c>
      <c r="G20" s="6" t="s">
        <v>99</v>
      </c>
      <c r="H20" s="5" t="s">
        <v>15</v>
      </c>
      <c r="I20" s="7">
        <v>38.1</v>
      </c>
    </row>
    <row r="21" spans="1:10" ht="15.75" customHeight="1">
      <c r="A21" s="4">
        <v>20</v>
      </c>
      <c r="B21" s="5" t="s">
        <v>100</v>
      </c>
      <c r="C21" s="5" t="s">
        <v>10</v>
      </c>
      <c r="D21" s="6" t="s">
        <v>101</v>
      </c>
      <c r="E21" s="6" t="s">
        <v>102</v>
      </c>
      <c r="F21" s="6" t="s">
        <v>103</v>
      </c>
      <c r="G21" s="6" t="s">
        <v>104</v>
      </c>
      <c r="H21" s="5" t="s">
        <v>15</v>
      </c>
      <c r="I21" s="7">
        <v>38.1</v>
      </c>
      <c r="J21">
        <f t="shared" ref="J21:J31" si="6">SQRT((D21-D20)^2+(E21-E20)^2+(F21-F20)^2)</f>
        <v>100.19878229799004</v>
      </c>
    </row>
    <row r="22" spans="1:10" ht="15" customHeight="1">
      <c r="A22" s="4">
        <v>21</v>
      </c>
      <c r="B22" s="5" t="s">
        <v>105</v>
      </c>
      <c r="C22" s="5" t="s">
        <v>10</v>
      </c>
      <c r="D22" s="6" t="s">
        <v>106</v>
      </c>
      <c r="E22" s="6" t="s">
        <v>74</v>
      </c>
      <c r="F22" s="6" t="s">
        <v>107</v>
      </c>
      <c r="G22" s="6" t="s">
        <v>108</v>
      </c>
      <c r="H22" s="5" t="s">
        <v>15</v>
      </c>
      <c r="I22" s="7">
        <v>38.1</v>
      </c>
    </row>
    <row r="23" spans="1:10" ht="15.75" customHeight="1">
      <c r="A23" s="4">
        <v>22</v>
      </c>
      <c r="B23" s="5" t="s">
        <v>109</v>
      </c>
      <c r="C23" s="5" t="s">
        <v>10</v>
      </c>
      <c r="D23" s="6" t="s">
        <v>110</v>
      </c>
      <c r="E23" s="6" t="s">
        <v>111</v>
      </c>
      <c r="F23" s="6" t="s">
        <v>112</v>
      </c>
      <c r="G23" s="6" t="s">
        <v>113</v>
      </c>
      <c r="H23" s="5" t="s">
        <v>15</v>
      </c>
      <c r="I23" s="7">
        <v>38.1</v>
      </c>
      <c r="J23">
        <f t="shared" ref="J23:J31" si="7">SQRT((D23-D22)^2+(E23-E22)^2+(F23-F22)^2)</f>
        <v>100.21300001995755</v>
      </c>
    </row>
    <row r="24" spans="1:10" ht="15.75" customHeight="1">
      <c r="A24" s="4">
        <v>23</v>
      </c>
      <c r="B24" s="5" t="s">
        <v>114</v>
      </c>
      <c r="C24" s="5" t="s">
        <v>10</v>
      </c>
      <c r="D24" s="6" t="s">
        <v>115</v>
      </c>
      <c r="E24" s="6" t="s">
        <v>116</v>
      </c>
      <c r="F24" s="6" t="s">
        <v>117</v>
      </c>
      <c r="G24" s="6" t="s">
        <v>118</v>
      </c>
      <c r="H24" s="5" t="s">
        <v>15</v>
      </c>
      <c r="I24" s="7">
        <v>38.1</v>
      </c>
    </row>
    <row r="25" spans="1:10" ht="15.75" customHeight="1">
      <c r="A25" s="4">
        <v>24</v>
      </c>
      <c r="B25" s="5" t="s">
        <v>119</v>
      </c>
      <c r="C25" s="5" t="s">
        <v>10</v>
      </c>
      <c r="D25" s="6" t="s">
        <v>120</v>
      </c>
      <c r="E25" s="6" t="s">
        <v>121</v>
      </c>
      <c r="F25" s="6" t="s">
        <v>122</v>
      </c>
      <c r="G25" s="6" t="s">
        <v>123</v>
      </c>
      <c r="H25" s="5" t="s">
        <v>15</v>
      </c>
      <c r="I25" s="7">
        <v>38.1</v>
      </c>
      <c r="J25">
        <f t="shared" ref="J25:J31" si="8">SQRT((D25-D24)^2+(E25-E24)^2+(F25-F24)^2)</f>
        <v>100.23016159320507</v>
      </c>
    </row>
    <row r="26" spans="1:10" ht="15.75" customHeight="1">
      <c r="A26" s="4">
        <v>25</v>
      </c>
      <c r="B26" s="5" t="s">
        <v>124</v>
      </c>
      <c r="C26" s="5" t="s">
        <v>10</v>
      </c>
      <c r="D26" s="6" t="s">
        <v>125</v>
      </c>
      <c r="E26" s="6" t="s">
        <v>64</v>
      </c>
      <c r="F26" s="6" t="s">
        <v>126</v>
      </c>
      <c r="G26" s="6" t="s">
        <v>127</v>
      </c>
      <c r="H26" s="5" t="s">
        <v>15</v>
      </c>
      <c r="I26" s="7">
        <v>38.1</v>
      </c>
    </row>
    <row r="27" spans="1:10" ht="15" customHeight="1">
      <c r="A27" s="4">
        <v>26</v>
      </c>
      <c r="B27" s="5" t="s">
        <v>128</v>
      </c>
      <c r="C27" s="5" t="s">
        <v>10</v>
      </c>
      <c r="D27" s="6" t="s">
        <v>129</v>
      </c>
      <c r="E27" s="6" t="s">
        <v>121</v>
      </c>
      <c r="F27" s="6" t="s">
        <v>130</v>
      </c>
      <c r="G27" s="6" t="s">
        <v>113</v>
      </c>
      <c r="H27" s="5" t="s">
        <v>15</v>
      </c>
      <c r="I27" s="7">
        <v>38.1</v>
      </c>
      <c r="J27">
        <f t="shared" ref="J27:J31" si="9">SQRT((D27-D26)^2+(E27-E26)^2+(F27-F26)^2)</f>
        <v>100.22003577628578</v>
      </c>
    </row>
    <row r="28" spans="1:10" ht="15.75" customHeight="1">
      <c r="A28" s="4">
        <v>27</v>
      </c>
      <c r="B28" s="5" t="s">
        <v>131</v>
      </c>
      <c r="C28" s="5" t="s">
        <v>10</v>
      </c>
      <c r="D28" s="6" t="s">
        <v>106</v>
      </c>
      <c r="E28" s="6" t="s">
        <v>132</v>
      </c>
      <c r="F28" s="6" t="s">
        <v>133</v>
      </c>
      <c r="G28" s="6" t="s">
        <v>134</v>
      </c>
      <c r="H28" s="5" t="s">
        <v>15</v>
      </c>
      <c r="I28" s="7">
        <v>38.1</v>
      </c>
    </row>
    <row r="29" spans="1:10" ht="15.75" customHeight="1">
      <c r="A29" s="4">
        <v>28</v>
      </c>
      <c r="B29" s="5" t="s">
        <v>135</v>
      </c>
      <c r="C29" s="5" t="s">
        <v>10</v>
      </c>
      <c r="D29" s="6" t="s">
        <v>129</v>
      </c>
      <c r="E29" s="6" t="s">
        <v>136</v>
      </c>
      <c r="F29" s="6" t="s">
        <v>137</v>
      </c>
      <c r="G29" s="6" t="s">
        <v>138</v>
      </c>
      <c r="H29" s="5" t="s">
        <v>15</v>
      </c>
      <c r="I29" s="7">
        <v>38.1</v>
      </c>
      <c r="J29">
        <f t="shared" ref="J29:J31" si="10">SQRT((D29-D28)^2+(E29-E28)^2+(F29-F28)^2)</f>
        <v>100.20295834455185</v>
      </c>
    </row>
    <row r="30" spans="1:10" ht="15.75" customHeight="1">
      <c r="A30" s="4">
        <v>29</v>
      </c>
      <c r="B30" s="5" t="s">
        <v>139</v>
      </c>
      <c r="C30" s="5" t="s">
        <v>10</v>
      </c>
      <c r="D30" s="6" t="s">
        <v>140</v>
      </c>
      <c r="E30" s="6" t="s">
        <v>141</v>
      </c>
      <c r="F30" s="6" t="s">
        <v>142</v>
      </c>
      <c r="G30" s="6" t="s">
        <v>143</v>
      </c>
      <c r="H30" s="5" t="s">
        <v>15</v>
      </c>
      <c r="I30" s="7">
        <v>38.1</v>
      </c>
    </row>
    <row r="31" spans="1:10" ht="15.75" customHeight="1">
      <c r="A31" s="4">
        <v>30</v>
      </c>
      <c r="B31" s="5" t="s">
        <v>144</v>
      </c>
      <c r="C31" s="5" t="s">
        <v>10</v>
      </c>
      <c r="D31" s="6" t="s">
        <v>145</v>
      </c>
      <c r="E31" s="6" t="s">
        <v>146</v>
      </c>
      <c r="F31" s="6" t="s">
        <v>147</v>
      </c>
      <c r="G31" s="6" t="s">
        <v>148</v>
      </c>
      <c r="H31" s="5" t="s">
        <v>15</v>
      </c>
      <c r="I31" s="7">
        <v>38.1</v>
      </c>
      <c r="J31">
        <f t="shared" ref="J31" si="11">SQRT((D31-D30)^2+(E31-E30)^2+(F31-F30)^2)</f>
        <v>100.1982063761622</v>
      </c>
    </row>
  </sheetData>
  <phoneticPr fontId="2" type="noConversion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정청운</cp:lastModifiedBy>
  <dcterms:created xsi:type="dcterms:W3CDTF">2026-04-06T05:41:25Z</dcterms:created>
  <dcterms:modified xsi:type="dcterms:W3CDTF">2026-04-06T06:34:38Z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22.1.6.0</vt:lpwstr>
  </property>
</Properties>
</file>